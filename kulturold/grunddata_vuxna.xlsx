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rh-my.sharepoint.com/personal/anton_gardelin_regionhalland_se/Documents/Analys/kultur/"/>
    </mc:Choice>
  </mc:AlternateContent>
  <xr:revisionPtr revIDLastSave="32" documentId="11_AD4D7A0C205A6B9A452FA8F1CFD4C48E693EDF23" xr6:coauthVersionLast="47" xr6:coauthVersionMax="47" xr10:uidLastSave="{F9B23DE1-0AB0-4CE3-B432-B00A3D02267A}"/>
  <bookViews>
    <workbookView xWindow="0" yWindow="0" windowWidth="25800" windowHeight="21000" xr2:uid="{00000000-000D-0000-FFFF-FFFF000000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1" l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9" i="1"/>
  <c r="I80" i="1"/>
  <c r="I81" i="1"/>
  <c r="I82" i="1"/>
  <c r="I83" i="1"/>
  <c r="I84" i="1"/>
  <c r="I86" i="1"/>
  <c r="I88" i="1"/>
  <c r="I89" i="1"/>
  <c r="I90" i="1"/>
  <c r="I9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3" i="1"/>
  <c r="I55" i="1"/>
  <c r="I56" i="1"/>
  <c r="I58" i="1"/>
  <c r="I6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8" i="1"/>
</calcChain>
</file>

<file path=xl/sharedStrings.xml><?xml version="1.0" encoding="utf-8"?>
<sst xmlns="http://schemas.openxmlformats.org/spreadsheetml/2006/main" count="190" uniqueCount="47">
  <si>
    <t>Verksamhet</t>
  </si>
  <si>
    <t>Huvudsaklig kulturform</t>
  </si>
  <si>
    <t>Falkenberg</t>
  </si>
  <si>
    <t>Halmstad</t>
  </si>
  <si>
    <t>Hylte</t>
  </si>
  <si>
    <t>Kungsbacka</t>
  </si>
  <si>
    <t>Laholm</t>
  </si>
  <si>
    <t>Varberg</t>
  </si>
  <si>
    <t>Halland</t>
  </si>
  <si>
    <t>Hallands konstmuseum</t>
  </si>
  <si>
    <t>Bild och form</t>
  </si>
  <si>
    <t>Hallands kulturhistoriska</t>
  </si>
  <si>
    <t>Kulturarv</t>
  </si>
  <si>
    <t>Teater Halland</t>
  </si>
  <si>
    <t>Teater</t>
  </si>
  <si>
    <t>Art inside Out</t>
  </si>
  <si>
    <t>Övrigt</t>
  </si>
  <si>
    <t>Musik Hallandia</t>
  </si>
  <si>
    <t>Musik</t>
  </si>
  <si>
    <t>Rum för dans</t>
  </si>
  <si>
    <t>Dans</t>
  </si>
  <si>
    <t>Arkiv Halland</t>
  </si>
  <si>
    <t>Arkiv</t>
  </si>
  <si>
    <t>Rian</t>
  </si>
  <si>
    <t>Riksteatern Halland</t>
  </si>
  <si>
    <t>Barn och unga</t>
  </si>
  <si>
    <t>Film</t>
  </si>
  <si>
    <t>Konst och kultur</t>
  </si>
  <si>
    <t>Slöjd</t>
  </si>
  <si>
    <t>Bibliotek och litteratur</t>
  </si>
  <si>
    <t>Bibliotek</t>
  </si>
  <si>
    <t>Tjolöholm</t>
  </si>
  <si>
    <t>Grimeton</t>
  </si>
  <si>
    <t>Teckningsmuseet</t>
  </si>
  <si>
    <t>Mjellby konstmuseum</t>
  </si>
  <si>
    <t>Bonadsmuseet</t>
  </si>
  <si>
    <t>Teater Dictat</t>
  </si>
  <si>
    <t>Militärhistoriska museet</t>
  </si>
  <si>
    <t>Hallands spelmansförbund</t>
  </si>
  <si>
    <t>Konsthallen Hishult</t>
  </si>
  <si>
    <t>Konstliv Halland</t>
  </si>
  <si>
    <t>Konstnärernas Kollektivverkstad Varberg (KKV Varberg)</t>
  </si>
  <si>
    <t>Kulturverket</t>
  </si>
  <si>
    <t>Solsidans kulturförening</t>
  </si>
  <si>
    <t>Teater Albatross</t>
  </si>
  <si>
    <t>Västsvenska Turnerande sommarteatern</t>
  </si>
  <si>
    <t>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</si>
</sst>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>
      <selection activeCell="R31" sqref="R3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46</v>
      </c>
    </row>
    <row r="2" spans="1:10" x14ac:dyDescent="0.25">
      <c r="A2" t="s">
        <v>9</v>
      </c>
      <c r="B2" t="s">
        <v>10</v>
      </c>
      <c r="C2">
        <v>159</v>
      </c>
      <c r="D2">
        <v>54043</v>
      </c>
      <c r="E2">
        <v>0</v>
      </c>
      <c r="F2">
        <v>54</v>
      </c>
      <c r="G2">
        <v>16</v>
      </c>
      <c r="H2">
        <v>48</v>
      </c>
      <c r="I2">
        <f>SUM(C2:H2)</f>
        <v>54320</v>
      </c>
      <c r="J2">
        <v>2022</v>
      </c>
    </row>
    <row r="3" spans="1:10" x14ac:dyDescent="0.25">
      <c r="A3" t="s">
        <v>11</v>
      </c>
      <c r="B3" t="s">
        <v>12</v>
      </c>
      <c r="C3">
        <v>65</v>
      </c>
      <c r="D3">
        <v>0</v>
      </c>
      <c r="E3">
        <v>13</v>
      </c>
      <c r="F3">
        <v>0</v>
      </c>
      <c r="G3">
        <v>0</v>
      </c>
      <c r="H3">
        <v>119961</v>
      </c>
      <c r="I3">
        <f>SUM(C3:H3)</f>
        <v>120039</v>
      </c>
      <c r="J3">
        <v>2022</v>
      </c>
    </row>
    <row r="4" spans="1:10" x14ac:dyDescent="0.25">
      <c r="A4" t="s">
        <v>13</v>
      </c>
      <c r="B4" t="s">
        <v>14</v>
      </c>
      <c r="C4">
        <v>502</v>
      </c>
      <c r="D4">
        <v>3116</v>
      </c>
      <c r="E4">
        <v>785</v>
      </c>
      <c r="F4">
        <v>2265</v>
      </c>
      <c r="G4">
        <v>273</v>
      </c>
      <c r="H4">
        <v>4304</v>
      </c>
      <c r="I4">
        <f>SUM(C4:H4)</f>
        <v>11245</v>
      </c>
      <c r="J4">
        <v>2022</v>
      </c>
    </row>
    <row r="5" spans="1:10" x14ac:dyDescent="0.25">
      <c r="A5" t="s">
        <v>15</v>
      </c>
      <c r="B5" t="s">
        <v>16</v>
      </c>
      <c r="C5">
        <v>0</v>
      </c>
      <c r="D5">
        <v>0</v>
      </c>
      <c r="E5">
        <v>0</v>
      </c>
      <c r="F5">
        <v>0</v>
      </c>
      <c r="G5">
        <v>252</v>
      </c>
      <c r="H5">
        <v>322</v>
      </c>
      <c r="I5">
        <f>SUM(C5:H5)</f>
        <v>574</v>
      </c>
      <c r="J5">
        <v>2022</v>
      </c>
    </row>
    <row r="6" spans="1:10" x14ac:dyDescent="0.25">
      <c r="A6" t="s">
        <v>17</v>
      </c>
      <c r="B6" t="s">
        <v>18</v>
      </c>
      <c r="C6">
        <v>5617</v>
      </c>
      <c r="D6">
        <v>9508</v>
      </c>
      <c r="E6">
        <v>1827</v>
      </c>
      <c r="F6">
        <v>2140</v>
      </c>
      <c r="G6">
        <v>977</v>
      </c>
      <c r="H6">
        <v>5165</v>
      </c>
      <c r="I6">
        <f>SUM(C6:H6)</f>
        <v>25234</v>
      </c>
      <c r="J6">
        <v>2022</v>
      </c>
    </row>
    <row r="7" spans="1:10" x14ac:dyDescent="0.25">
      <c r="A7" t="s">
        <v>19</v>
      </c>
      <c r="B7" t="s">
        <v>20</v>
      </c>
      <c r="C7">
        <v>1302</v>
      </c>
      <c r="D7">
        <v>980</v>
      </c>
      <c r="E7">
        <v>0</v>
      </c>
      <c r="F7">
        <v>920</v>
      </c>
      <c r="G7">
        <v>81</v>
      </c>
      <c r="H7">
        <v>350</v>
      </c>
      <c r="I7">
        <f>SUM(C7:H7)</f>
        <v>3633</v>
      </c>
      <c r="J7">
        <v>2022</v>
      </c>
    </row>
    <row r="8" spans="1:10" x14ac:dyDescent="0.25">
      <c r="A8" t="s">
        <v>21</v>
      </c>
      <c r="B8" t="s">
        <v>22</v>
      </c>
      <c r="C8">
        <v>105</v>
      </c>
      <c r="D8">
        <v>98</v>
      </c>
      <c r="E8">
        <v>0</v>
      </c>
      <c r="F8">
        <v>0</v>
      </c>
      <c r="G8">
        <v>0</v>
      </c>
      <c r="H8">
        <v>105</v>
      </c>
      <c r="I8">
        <f>SUM(C8:H8)</f>
        <v>308</v>
      </c>
      <c r="J8">
        <v>2022</v>
      </c>
    </row>
    <row r="9" spans="1:10" x14ac:dyDescent="0.25">
      <c r="A9" t="s">
        <v>23</v>
      </c>
      <c r="B9" t="s">
        <v>10</v>
      </c>
      <c r="C9">
        <v>17684</v>
      </c>
      <c r="D9">
        <v>0</v>
      </c>
      <c r="E9">
        <v>0</v>
      </c>
      <c r="F9">
        <v>0</v>
      </c>
      <c r="G9">
        <v>0</v>
      </c>
      <c r="H9">
        <v>0</v>
      </c>
      <c r="I9">
        <f>SUM(C9:H9)</f>
        <v>17684</v>
      </c>
      <c r="J9">
        <v>2022</v>
      </c>
    </row>
    <row r="10" spans="1:10" x14ac:dyDescent="0.25">
      <c r="A10" t="s">
        <v>24</v>
      </c>
      <c r="B10" t="s">
        <v>14</v>
      </c>
      <c r="C10">
        <v>620</v>
      </c>
      <c r="D10">
        <v>1400</v>
      </c>
      <c r="E10">
        <v>0</v>
      </c>
      <c r="F10">
        <v>1100</v>
      </c>
      <c r="G10">
        <v>0</v>
      </c>
      <c r="H10">
        <v>1100</v>
      </c>
      <c r="I10">
        <f>SUM(C10:H10)</f>
        <v>4220</v>
      </c>
      <c r="J10">
        <v>2022</v>
      </c>
    </row>
    <row r="11" spans="1:10" x14ac:dyDescent="0.25">
      <c r="A11" t="s">
        <v>25</v>
      </c>
      <c r="B11" t="s">
        <v>16</v>
      </c>
      <c r="C11">
        <v>1689</v>
      </c>
      <c r="D11">
        <v>7179</v>
      </c>
      <c r="E11">
        <v>323</v>
      </c>
      <c r="F11">
        <v>1158</v>
      </c>
      <c r="G11">
        <v>0</v>
      </c>
      <c r="H11">
        <v>890</v>
      </c>
      <c r="I11">
        <f>SUM(C11:H11)</f>
        <v>11239</v>
      </c>
      <c r="J11">
        <v>2022</v>
      </c>
    </row>
    <row r="12" spans="1:10" x14ac:dyDescent="0.25">
      <c r="A12" t="s">
        <v>10</v>
      </c>
      <c r="B12" t="s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f>SUM(C12:H12)</f>
        <v>0</v>
      </c>
      <c r="J12">
        <v>2022</v>
      </c>
    </row>
    <row r="13" spans="1:10" x14ac:dyDescent="0.25">
      <c r="A13" t="s">
        <v>26</v>
      </c>
      <c r="B13" t="s">
        <v>26</v>
      </c>
      <c r="C13">
        <v>70</v>
      </c>
      <c r="D13">
        <v>140</v>
      </c>
      <c r="E13">
        <v>5</v>
      </c>
      <c r="F13">
        <v>12</v>
      </c>
      <c r="G13">
        <v>9</v>
      </c>
      <c r="H13">
        <v>12</v>
      </c>
      <c r="I13">
        <f>SUM(C13:H13)</f>
        <v>248</v>
      </c>
      <c r="J13">
        <v>2022</v>
      </c>
    </row>
    <row r="14" spans="1:10" x14ac:dyDescent="0.25">
      <c r="A14" t="s">
        <v>27</v>
      </c>
      <c r="B14" t="s">
        <v>16</v>
      </c>
      <c r="C14">
        <v>300</v>
      </c>
      <c r="D14">
        <v>200</v>
      </c>
      <c r="E14">
        <v>200</v>
      </c>
      <c r="F14">
        <v>0</v>
      </c>
      <c r="G14">
        <v>166</v>
      </c>
      <c r="H14">
        <v>0</v>
      </c>
      <c r="I14">
        <f>SUM(C14:H14)</f>
        <v>866</v>
      </c>
      <c r="J14">
        <v>2022</v>
      </c>
    </row>
    <row r="15" spans="1:10" x14ac:dyDescent="0.25">
      <c r="A15" t="s">
        <v>28</v>
      </c>
      <c r="B15" t="s">
        <v>28</v>
      </c>
      <c r="C15">
        <v>42</v>
      </c>
      <c r="D15">
        <v>7441</v>
      </c>
      <c r="E15">
        <v>44</v>
      </c>
      <c r="F15">
        <v>0</v>
      </c>
      <c r="G15">
        <v>0</v>
      </c>
      <c r="H15">
        <v>649</v>
      </c>
      <c r="I15">
        <f>SUM(C15:H15)</f>
        <v>8176</v>
      </c>
      <c r="J15">
        <v>2022</v>
      </c>
    </row>
    <row r="16" spans="1:10" x14ac:dyDescent="0.25">
      <c r="A16" t="s">
        <v>29</v>
      </c>
      <c r="B16" t="s">
        <v>30</v>
      </c>
      <c r="C16">
        <v>74</v>
      </c>
      <c r="D16">
        <v>55</v>
      </c>
      <c r="E16">
        <v>16</v>
      </c>
      <c r="F16">
        <v>56</v>
      </c>
      <c r="G16">
        <v>47</v>
      </c>
      <c r="H16">
        <v>187</v>
      </c>
      <c r="I16">
        <f>SUM(C16:H16)</f>
        <v>435</v>
      </c>
      <c r="J16">
        <v>2022</v>
      </c>
    </row>
    <row r="17" spans="1:10" x14ac:dyDescent="0.25">
      <c r="A17" t="s">
        <v>31</v>
      </c>
      <c r="B17" t="s">
        <v>12</v>
      </c>
      <c r="J17">
        <v>2022</v>
      </c>
    </row>
    <row r="18" spans="1:10" x14ac:dyDescent="0.25">
      <c r="A18" t="s">
        <v>32</v>
      </c>
      <c r="B18" t="s">
        <v>12</v>
      </c>
      <c r="C18">
        <v>0</v>
      </c>
      <c r="D18">
        <v>0</v>
      </c>
      <c r="E18">
        <v>0</v>
      </c>
      <c r="F18">
        <v>0</v>
      </c>
      <c r="G18">
        <v>0</v>
      </c>
      <c r="H18">
        <v>8248</v>
      </c>
      <c r="I18">
        <f>SUM(C18:H18)</f>
        <v>8248</v>
      </c>
      <c r="J18">
        <v>2022</v>
      </c>
    </row>
    <row r="19" spans="1:10" x14ac:dyDescent="0.25">
      <c r="A19" t="s">
        <v>33</v>
      </c>
      <c r="B19" t="s">
        <v>10</v>
      </c>
      <c r="J19">
        <v>2022</v>
      </c>
    </row>
    <row r="20" spans="1:10" x14ac:dyDescent="0.25">
      <c r="A20" t="s">
        <v>34</v>
      </c>
      <c r="B20" t="s">
        <v>10</v>
      </c>
      <c r="J20">
        <v>2022</v>
      </c>
    </row>
    <row r="21" spans="1:10" x14ac:dyDescent="0.25">
      <c r="A21" t="s">
        <v>35</v>
      </c>
      <c r="B21" t="s">
        <v>28</v>
      </c>
      <c r="J21">
        <v>2022</v>
      </c>
    </row>
    <row r="22" spans="1:10" x14ac:dyDescent="0.25">
      <c r="A22" t="s">
        <v>36</v>
      </c>
      <c r="B22" t="s">
        <v>14</v>
      </c>
      <c r="J22">
        <v>2022</v>
      </c>
    </row>
    <row r="23" spans="1:10" x14ac:dyDescent="0.25">
      <c r="A23" t="s">
        <v>37</v>
      </c>
      <c r="B23" t="s">
        <v>12</v>
      </c>
      <c r="J23">
        <v>2022</v>
      </c>
    </row>
    <row r="24" spans="1:10" x14ac:dyDescent="0.25">
      <c r="A24" t="s">
        <v>38</v>
      </c>
      <c r="B24" t="s">
        <v>18</v>
      </c>
      <c r="J24">
        <v>2022</v>
      </c>
    </row>
    <row r="25" spans="1:10" x14ac:dyDescent="0.25">
      <c r="A25" t="s">
        <v>39</v>
      </c>
      <c r="B25" t="s">
        <v>10</v>
      </c>
      <c r="J25">
        <v>2022</v>
      </c>
    </row>
    <row r="26" spans="1:10" x14ac:dyDescent="0.25">
      <c r="A26" t="s">
        <v>40</v>
      </c>
      <c r="B26" t="s">
        <v>10</v>
      </c>
      <c r="J26">
        <v>2022</v>
      </c>
    </row>
    <row r="27" spans="1:10" x14ac:dyDescent="0.25">
      <c r="A27" t="s">
        <v>41</v>
      </c>
      <c r="B27" t="s">
        <v>10</v>
      </c>
      <c r="J27">
        <v>2022</v>
      </c>
    </row>
    <row r="28" spans="1:10" x14ac:dyDescent="0.25">
      <c r="A28" t="s">
        <v>42</v>
      </c>
      <c r="B28" t="s">
        <v>18</v>
      </c>
      <c r="J28">
        <v>2022</v>
      </c>
    </row>
    <row r="29" spans="1:10" x14ac:dyDescent="0.25">
      <c r="A29" t="s">
        <v>43</v>
      </c>
      <c r="B29" t="s">
        <v>16</v>
      </c>
      <c r="J29">
        <v>2022</v>
      </c>
    </row>
    <row r="30" spans="1:10" x14ac:dyDescent="0.25">
      <c r="A30" t="s">
        <v>44</v>
      </c>
      <c r="B30" t="s">
        <v>14</v>
      </c>
      <c r="J30">
        <v>2022</v>
      </c>
    </row>
    <row r="31" spans="1:10" x14ac:dyDescent="0.25">
      <c r="A31" t="s">
        <v>45</v>
      </c>
      <c r="B31" t="s">
        <v>14</v>
      </c>
      <c r="J31">
        <v>2022</v>
      </c>
    </row>
    <row r="32" spans="1:10" x14ac:dyDescent="0.25">
      <c r="A32" t="s">
        <v>9</v>
      </c>
      <c r="B32" t="s">
        <v>10</v>
      </c>
      <c r="C32">
        <v>42</v>
      </c>
      <c r="D32">
        <v>50313</v>
      </c>
      <c r="E32">
        <v>16</v>
      </c>
      <c r="F32">
        <v>0</v>
      </c>
      <c r="G32">
        <v>138</v>
      </c>
      <c r="H32">
        <v>35</v>
      </c>
      <c r="I32">
        <f>SUM(C32:H32)</f>
        <v>50544</v>
      </c>
      <c r="J32">
        <v>2023</v>
      </c>
    </row>
    <row r="33" spans="1:10" x14ac:dyDescent="0.25">
      <c r="A33" t="s">
        <v>11</v>
      </c>
      <c r="B33" t="s">
        <v>12</v>
      </c>
      <c r="C33">
        <v>87</v>
      </c>
      <c r="D33">
        <v>0</v>
      </c>
      <c r="E33">
        <v>0</v>
      </c>
      <c r="F33">
        <v>0</v>
      </c>
      <c r="G33">
        <v>0</v>
      </c>
      <c r="H33">
        <v>118389</v>
      </c>
      <c r="I33">
        <f>SUM(C33:H33)</f>
        <v>118476</v>
      </c>
      <c r="J33">
        <v>2023</v>
      </c>
    </row>
    <row r="34" spans="1:10" x14ac:dyDescent="0.25">
      <c r="A34" t="s">
        <v>13</v>
      </c>
      <c r="B34" t="s">
        <v>14</v>
      </c>
      <c r="C34">
        <v>869</v>
      </c>
      <c r="D34">
        <v>3578</v>
      </c>
      <c r="E34">
        <v>1109</v>
      </c>
      <c r="F34">
        <v>3598</v>
      </c>
      <c r="G34">
        <v>563</v>
      </c>
      <c r="H34">
        <v>7036</v>
      </c>
      <c r="I34">
        <f>SUM(C34:H34)</f>
        <v>16753</v>
      </c>
      <c r="J34">
        <v>2023</v>
      </c>
    </row>
    <row r="35" spans="1:10" x14ac:dyDescent="0.25">
      <c r="A35" t="s">
        <v>15</v>
      </c>
      <c r="B35" t="s">
        <v>16</v>
      </c>
      <c r="C35">
        <v>1370</v>
      </c>
      <c r="D35">
        <v>43</v>
      </c>
      <c r="E35">
        <v>283</v>
      </c>
      <c r="F35">
        <v>0</v>
      </c>
      <c r="G35">
        <v>41</v>
      </c>
      <c r="H35">
        <v>16</v>
      </c>
      <c r="I35">
        <f>SUM(C35:H35)</f>
        <v>1753</v>
      </c>
      <c r="J35">
        <v>2023</v>
      </c>
    </row>
    <row r="36" spans="1:10" x14ac:dyDescent="0.25">
      <c r="A36" t="s">
        <v>17</v>
      </c>
      <c r="B36" t="s">
        <v>18</v>
      </c>
      <c r="C36">
        <v>3715</v>
      </c>
      <c r="D36">
        <v>10046</v>
      </c>
      <c r="E36">
        <v>1314</v>
      </c>
      <c r="F36">
        <v>4775</v>
      </c>
      <c r="G36">
        <v>2089</v>
      </c>
      <c r="H36">
        <v>5146</v>
      </c>
      <c r="I36">
        <f>SUM(C36:H36)</f>
        <v>27085</v>
      </c>
      <c r="J36">
        <v>2023</v>
      </c>
    </row>
    <row r="37" spans="1:10" x14ac:dyDescent="0.25">
      <c r="A37" t="s">
        <v>19</v>
      </c>
      <c r="B37" t="s">
        <v>20</v>
      </c>
      <c r="C37">
        <v>3500</v>
      </c>
      <c r="D37">
        <v>2691</v>
      </c>
      <c r="E37">
        <v>648</v>
      </c>
      <c r="F37">
        <v>2476</v>
      </c>
      <c r="G37">
        <v>0</v>
      </c>
      <c r="H37">
        <v>1104</v>
      </c>
      <c r="I37">
        <f>SUM(C37:H37)</f>
        <v>10419</v>
      </c>
      <c r="J37">
        <v>2023</v>
      </c>
    </row>
    <row r="38" spans="1:10" x14ac:dyDescent="0.25">
      <c r="A38" t="s">
        <v>21</v>
      </c>
      <c r="B38" t="s">
        <v>22</v>
      </c>
      <c r="C38">
        <v>9</v>
      </c>
      <c r="D38">
        <v>108</v>
      </c>
      <c r="E38">
        <v>0</v>
      </c>
      <c r="F38">
        <v>0</v>
      </c>
      <c r="G38">
        <v>0</v>
      </c>
      <c r="H38">
        <v>52</v>
      </c>
      <c r="I38">
        <f>SUM(C38:H38)</f>
        <v>169</v>
      </c>
      <c r="J38">
        <v>2023</v>
      </c>
    </row>
    <row r="39" spans="1:10" x14ac:dyDescent="0.25">
      <c r="A39" t="s">
        <v>23</v>
      </c>
      <c r="B39" t="s">
        <v>10</v>
      </c>
      <c r="C39">
        <v>12912</v>
      </c>
      <c r="D39">
        <v>0</v>
      </c>
      <c r="E39">
        <v>0</v>
      </c>
      <c r="F39">
        <v>0</v>
      </c>
      <c r="G39">
        <v>0</v>
      </c>
      <c r="H39">
        <v>0</v>
      </c>
      <c r="I39">
        <f>SUM(C39:H39)</f>
        <v>12912</v>
      </c>
      <c r="J39">
        <v>2023</v>
      </c>
    </row>
    <row r="40" spans="1:10" x14ac:dyDescent="0.25">
      <c r="A40" t="s">
        <v>24</v>
      </c>
      <c r="B40" t="s">
        <v>14</v>
      </c>
      <c r="C40">
        <v>0</v>
      </c>
      <c r="D40">
        <v>2390</v>
      </c>
      <c r="E40">
        <v>400</v>
      </c>
      <c r="F40">
        <v>0</v>
      </c>
      <c r="G40">
        <v>42</v>
      </c>
      <c r="H40">
        <v>0</v>
      </c>
      <c r="I40">
        <f>SUM(C40:H40)</f>
        <v>2832</v>
      </c>
      <c r="J40">
        <v>2023</v>
      </c>
    </row>
    <row r="41" spans="1:10" x14ac:dyDescent="0.25">
      <c r="A41" t="s">
        <v>25</v>
      </c>
      <c r="B41" t="s">
        <v>16</v>
      </c>
      <c r="C41">
        <v>579</v>
      </c>
      <c r="D41">
        <v>6971</v>
      </c>
      <c r="E41">
        <v>209</v>
      </c>
      <c r="F41">
        <v>2838</v>
      </c>
      <c r="G41">
        <v>495</v>
      </c>
      <c r="H41">
        <v>3191</v>
      </c>
      <c r="I41">
        <f>SUM(C41:H41)</f>
        <v>14283</v>
      </c>
      <c r="J41">
        <v>2023</v>
      </c>
    </row>
    <row r="42" spans="1:10" x14ac:dyDescent="0.25">
      <c r="A42" t="s">
        <v>10</v>
      </c>
      <c r="B42" t="s">
        <v>10</v>
      </c>
      <c r="C42">
        <v>0</v>
      </c>
      <c r="D42">
        <v>15</v>
      </c>
      <c r="E42">
        <v>0</v>
      </c>
      <c r="F42">
        <v>0</v>
      </c>
      <c r="G42">
        <v>0</v>
      </c>
      <c r="H42">
        <v>0</v>
      </c>
      <c r="I42">
        <f>SUM(C42:H42)</f>
        <v>15</v>
      </c>
      <c r="J42">
        <v>2023</v>
      </c>
    </row>
    <row r="43" spans="1:10" x14ac:dyDescent="0.25">
      <c r="A43" t="s">
        <v>26</v>
      </c>
      <c r="B43" t="s">
        <v>26</v>
      </c>
      <c r="C43">
        <v>748</v>
      </c>
      <c r="D43">
        <v>1293</v>
      </c>
      <c r="E43">
        <v>78</v>
      </c>
      <c r="F43">
        <v>562</v>
      </c>
      <c r="G43">
        <v>199</v>
      </c>
      <c r="H43">
        <v>758</v>
      </c>
      <c r="I43">
        <f>SUM(C43:H43)</f>
        <v>3638</v>
      </c>
      <c r="J43">
        <v>2023</v>
      </c>
    </row>
    <row r="44" spans="1:10" x14ac:dyDescent="0.25">
      <c r="A44" t="s">
        <v>27</v>
      </c>
      <c r="B44" t="s">
        <v>16</v>
      </c>
      <c r="C44">
        <v>70</v>
      </c>
      <c r="D44">
        <v>366</v>
      </c>
      <c r="E44">
        <v>25</v>
      </c>
      <c r="F44">
        <v>345</v>
      </c>
      <c r="G44">
        <v>1015</v>
      </c>
      <c r="H44">
        <v>185</v>
      </c>
      <c r="I44">
        <f>SUM(C44:H44)</f>
        <v>2006</v>
      </c>
      <c r="J44">
        <v>2023</v>
      </c>
    </row>
    <row r="45" spans="1:10" x14ac:dyDescent="0.25">
      <c r="A45" t="s">
        <v>28</v>
      </c>
      <c r="B45" t="s">
        <v>28</v>
      </c>
      <c r="C45">
        <v>53</v>
      </c>
      <c r="D45">
        <v>312</v>
      </c>
      <c r="E45">
        <v>0</v>
      </c>
      <c r="F45">
        <v>185</v>
      </c>
      <c r="G45">
        <v>60</v>
      </c>
      <c r="H45">
        <v>1839</v>
      </c>
      <c r="I45">
        <f>SUM(C45:H45)</f>
        <v>2449</v>
      </c>
      <c r="J45">
        <v>2023</v>
      </c>
    </row>
    <row r="46" spans="1:10" x14ac:dyDescent="0.25">
      <c r="A46" t="s">
        <v>29</v>
      </c>
      <c r="B46" t="s">
        <v>30</v>
      </c>
      <c r="C46">
        <v>490</v>
      </c>
      <c r="D46">
        <v>263</v>
      </c>
      <c r="E46">
        <v>67</v>
      </c>
      <c r="F46">
        <v>997</v>
      </c>
      <c r="G46">
        <v>176</v>
      </c>
      <c r="H46">
        <v>170</v>
      </c>
      <c r="I46">
        <f>SUM(C46:H46)</f>
        <v>2163</v>
      </c>
      <c r="J46">
        <v>2023</v>
      </c>
    </row>
    <row r="47" spans="1:10" x14ac:dyDescent="0.25">
      <c r="A47" t="s">
        <v>31</v>
      </c>
      <c r="B47" t="s">
        <v>12</v>
      </c>
      <c r="C47">
        <v>0</v>
      </c>
      <c r="D47">
        <v>0</v>
      </c>
      <c r="E47">
        <v>0</v>
      </c>
      <c r="F47">
        <v>285</v>
      </c>
      <c r="G47">
        <v>0</v>
      </c>
      <c r="H47">
        <v>0</v>
      </c>
      <c r="I47">
        <f>SUM(C47:H47)</f>
        <v>285</v>
      </c>
      <c r="J47">
        <v>2023</v>
      </c>
    </row>
    <row r="48" spans="1:10" x14ac:dyDescent="0.25">
      <c r="A48" t="s">
        <v>32</v>
      </c>
      <c r="B48" t="s">
        <v>12</v>
      </c>
      <c r="C48">
        <v>0</v>
      </c>
      <c r="D48">
        <v>0</v>
      </c>
      <c r="E48">
        <v>0</v>
      </c>
      <c r="F48">
        <v>0</v>
      </c>
      <c r="G48">
        <v>0</v>
      </c>
      <c r="H48">
        <v>9375</v>
      </c>
      <c r="I48">
        <f>SUM(C48:H48)</f>
        <v>9375</v>
      </c>
      <c r="J48">
        <v>2023</v>
      </c>
    </row>
    <row r="49" spans="1:10" x14ac:dyDescent="0.25">
      <c r="A49" t="s">
        <v>33</v>
      </c>
      <c r="B49" t="s">
        <v>10</v>
      </c>
      <c r="C49">
        <v>0</v>
      </c>
      <c r="D49">
        <v>0</v>
      </c>
      <c r="E49">
        <v>0</v>
      </c>
      <c r="F49">
        <v>0</v>
      </c>
      <c r="G49">
        <v>2935</v>
      </c>
      <c r="H49">
        <v>0</v>
      </c>
      <c r="I49">
        <f>SUM(C49:H49)</f>
        <v>2935</v>
      </c>
      <c r="J49">
        <v>2023</v>
      </c>
    </row>
    <row r="50" spans="1:10" x14ac:dyDescent="0.25">
      <c r="A50" t="s">
        <v>34</v>
      </c>
      <c r="B50" t="s">
        <v>10</v>
      </c>
      <c r="C50">
        <v>0</v>
      </c>
      <c r="D50">
        <v>820</v>
      </c>
      <c r="E50">
        <v>0</v>
      </c>
      <c r="F50">
        <v>0</v>
      </c>
      <c r="G50">
        <v>0</v>
      </c>
      <c r="H50">
        <v>0</v>
      </c>
      <c r="I50">
        <f>SUM(C50:H50)</f>
        <v>820</v>
      </c>
      <c r="J50">
        <v>2023</v>
      </c>
    </row>
    <row r="51" spans="1:10" x14ac:dyDescent="0.25">
      <c r="A51" t="s">
        <v>35</v>
      </c>
      <c r="B51" t="s">
        <v>28</v>
      </c>
      <c r="C51">
        <v>150</v>
      </c>
      <c r="D51">
        <v>1045</v>
      </c>
      <c r="E51">
        <v>1866</v>
      </c>
      <c r="F51">
        <v>0</v>
      </c>
      <c r="G51">
        <v>0</v>
      </c>
      <c r="H51">
        <v>0</v>
      </c>
      <c r="I51">
        <f>SUM(C51:H51)</f>
        <v>3061</v>
      </c>
      <c r="J51">
        <v>2023</v>
      </c>
    </row>
    <row r="52" spans="1:10" x14ac:dyDescent="0.25">
      <c r="A52" t="s">
        <v>36</v>
      </c>
      <c r="B52" t="s">
        <v>14</v>
      </c>
      <c r="J52">
        <v>2023</v>
      </c>
    </row>
    <row r="53" spans="1:10" x14ac:dyDescent="0.25">
      <c r="A53" t="s">
        <v>37</v>
      </c>
      <c r="B53" t="s">
        <v>12</v>
      </c>
      <c r="C53">
        <v>0</v>
      </c>
      <c r="D53">
        <v>3000</v>
      </c>
      <c r="E53">
        <v>0</v>
      </c>
      <c r="F53">
        <v>0</v>
      </c>
      <c r="G53">
        <v>300</v>
      </c>
      <c r="H53">
        <v>100</v>
      </c>
      <c r="I53">
        <f>SUM(C53:H53)</f>
        <v>3400</v>
      </c>
      <c r="J53">
        <v>2023</v>
      </c>
    </row>
    <row r="54" spans="1:10" x14ac:dyDescent="0.25">
      <c r="A54" t="s">
        <v>38</v>
      </c>
      <c r="B54" t="s">
        <v>18</v>
      </c>
      <c r="J54">
        <v>2023</v>
      </c>
    </row>
    <row r="55" spans="1:10" x14ac:dyDescent="0.25">
      <c r="A55" t="s">
        <v>39</v>
      </c>
      <c r="B55" t="s">
        <v>10</v>
      </c>
      <c r="C55">
        <v>0</v>
      </c>
      <c r="D55">
        <v>0</v>
      </c>
      <c r="E55">
        <v>0</v>
      </c>
      <c r="F55">
        <v>0</v>
      </c>
      <c r="G55">
        <v>12000</v>
      </c>
      <c r="H55">
        <v>0</v>
      </c>
      <c r="I55">
        <f>SUM(C55:H55)</f>
        <v>12000</v>
      </c>
      <c r="J55">
        <v>2023</v>
      </c>
    </row>
    <row r="56" spans="1:10" x14ac:dyDescent="0.25">
      <c r="A56" t="s">
        <v>40</v>
      </c>
      <c r="B56" t="s">
        <v>10</v>
      </c>
      <c r="C56">
        <v>540</v>
      </c>
      <c r="D56">
        <v>777</v>
      </c>
      <c r="E56">
        <v>0</v>
      </c>
      <c r="F56">
        <v>405</v>
      </c>
      <c r="G56">
        <v>757</v>
      </c>
      <c r="H56">
        <v>563</v>
      </c>
      <c r="I56">
        <f>SUM(C56:H56)</f>
        <v>3042</v>
      </c>
      <c r="J56">
        <v>2023</v>
      </c>
    </row>
    <row r="57" spans="1:10" x14ac:dyDescent="0.25">
      <c r="A57" t="s">
        <v>41</v>
      </c>
      <c r="B57" t="s">
        <v>10</v>
      </c>
      <c r="J57">
        <v>2023</v>
      </c>
    </row>
    <row r="58" spans="1:10" x14ac:dyDescent="0.25">
      <c r="A58" t="s">
        <v>42</v>
      </c>
      <c r="B58" t="s">
        <v>18</v>
      </c>
      <c r="C58">
        <v>52</v>
      </c>
      <c r="D58">
        <v>1444</v>
      </c>
      <c r="E58">
        <v>0</v>
      </c>
      <c r="F58">
        <v>0</v>
      </c>
      <c r="G58">
        <v>0</v>
      </c>
      <c r="H58">
        <v>0</v>
      </c>
      <c r="I58">
        <f>SUM(C58:H58)</f>
        <v>1496</v>
      </c>
      <c r="J58">
        <v>2023</v>
      </c>
    </row>
    <row r="59" spans="1:10" x14ac:dyDescent="0.25">
      <c r="A59" t="s">
        <v>43</v>
      </c>
      <c r="B59" t="s">
        <v>16</v>
      </c>
      <c r="J59">
        <v>2023</v>
      </c>
    </row>
    <row r="60" spans="1:10" x14ac:dyDescent="0.25">
      <c r="A60" t="s">
        <v>44</v>
      </c>
      <c r="B60" t="s">
        <v>14</v>
      </c>
      <c r="J60">
        <v>2023</v>
      </c>
    </row>
    <row r="61" spans="1:10" x14ac:dyDescent="0.25">
      <c r="A61" t="s">
        <v>45</v>
      </c>
      <c r="B61" t="s">
        <v>14</v>
      </c>
      <c r="C61">
        <v>0</v>
      </c>
      <c r="D61">
        <v>10000</v>
      </c>
      <c r="E61">
        <v>0</v>
      </c>
      <c r="F61">
        <v>0</v>
      </c>
      <c r="G61">
        <v>0</v>
      </c>
      <c r="H61">
        <v>0</v>
      </c>
      <c r="I61">
        <f>SUM(C61:H61)</f>
        <v>10000</v>
      </c>
      <c r="J61">
        <v>2023</v>
      </c>
    </row>
    <row r="62" spans="1:10" x14ac:dyDescent="0.25">
      <c r="A62" t="s">
        <v>9</v>
      </c>
      <c r="B62" t="s">
        <v>10</v>
      </c>
      <c r="C62">
        <v>44</v>
      </c>
      <c r="D62">
        <v>48867</v>
      </c>
      <c r="E62">
        <v>0</v>
      </c>
      <c r="F62">
        <v>184</v>
      </c>
      <c r="G62">
        <v>44</v>
      </c>
      <c r="H62">
        <v>35</v>
      </c>
      <c r="I62">
        <f>SUM(C62:H62)</f>
        <v>49174</v>
      </c>
      <c r="J62">
        <v>2024</v>
      </c>
    </row>
    <row r="63" spans="1:10" x14ac:dyDescent="0.25">
      <c r="A63" t="s">
        <v>11</v>
      </c>
      <c r="B63" t="s">
        <v>12</v>
      </c>
      <c r="C63">
        <v>60</v>
      </c>
      <c r="D63">
        <v>1516</v>
      </c>
      <c r="E63">
        <v>0</v>
      </c>
      <c r="F63">
        <v>0</v>
      </c>
      <c r="G63">
        <v>0</v>
      </c>
      <c r="H63">
        <v>114837</v>
      </c>
      <c r="I63">
        <f>SUM(C63:H63)</f>
        <v>116413</v>
      </c>
      <c r="J63">
        <v>2024</v>
      </c>
    </row>
    <row r="64" spans="1:10" x14ac:dyDescent="0.25">
      <c r="A64" t="s">
        <v>13</v>
      </c>
      <c r="B64" t="s">
        <v>14</v>
      </c>
      <c r="C64">
        <v>973</v>
      </c>
      <c r="D64">
        <v>3412</v>
      </c>
      <c r="E64">
        <v>224</v>
      </c>
      <c r="F64">
        <v>4009</v>
      </c>
      <c r="G64">
        <v>621</v>
      </c>
      <c r="H64">
        <v>5301</v>
      </c>
      <c r="I64">
        <f>SUM(C64:H64)</f>
        <v>14540</v>
      </c>
      <c r="J64">
        <v>2024</v>
      </c>
    </row>
    <row r="65" spans="1:10" x14ac:dyDescent="0.25">
      <c r="A65" t="s">
        <v>15</v>
      </c>
      <c r="B65" t="s">
        <v>16</v>
      </c>
      <c r="C65">
        <v>0</v>
      </c>
      <c r="D65">
        <v>9089</v>
      </c>
      <c r="E65">
        <v>73</v>
      </c>
      <c r="F65">
        <v>23032</v>
      </c>
      <c r="G65">
        <v>0</v>
      </c>
      <c r="H65">
        <v>0</v>
      </c>
      <c r="I65">
        <f>SUM(C65:H65)</f>
        <v>32194</v>
      </c>
      <c r="J65">
        <v>2024</v>
      </c>
    </row>
    <row r="66" spans="1:10" x14ac:dyDescent="0.25">
      <c r="A66" t="s">
        <v>17</v>
      </c>
      <c r="B66" t="s">
        <v>18</v>
      </c>
      <c r="C66">
        <v>2106</v>
      </c>
      <c r="D66">
        <v>13495</v>
      </c>
      <c r="E66">
        <v>1305</v>
      </c>
      <c r="F66">
        <v>3010</v>
      </c>
      <c r="G66">
        <v>2810</v>
      </c>
      <c r="H66">
        <v>3922</v>
      </c>
      <c r="I66">
        <f>SUM(C66:H66)</f>
        <v>26648</v>
      </c>
      <c r="J66">
        <v>2024</v>
      </c>
    </row>
    <row r="67" spans="1:10" x14ac:dyDescent="0.25">
      <c r="A67" t="s">
        <v>19</v>
      </c>
      <c r="B67" t="s">
        <v>20</v>
      </c>
      <c r="C67">
        <v>3351</v>
      </c>
      <c r="D67">
        <v>1738</v>
      </c>
      <c r="E67">
        <v>240</v>
      </c>
      <c r="F67">
        <v>4774</v>
      </c>
      <c r="G67">
        <v>31</v>
      </c>
      <c r="H67">
        <v>660</v>
      </c>
      <c r="I67">
        <f>SUM(C67:H67)</f>
        <v>10794</v>
      </c>
      <c r="J67">
        <v>2024</v>
      </c>
    </row>
    <row r="68" spans="1:10" x14ac:dyDescent="0.25">
      <c r="A68" t="s">
        <v>21</v>
      </c>
      <c r="B68" t="s">
        <v>22</v>
      </c>
      <c r="C68">
        <v>55</v>
      </c>
      <c r="D68">
        <v>25</v>
      </c>
      <c r="E68">
        <v>0</v>
      </c>
      <c r="F68">
        <v>0</v>
      </c>
      <c r="G68">
        <v>0</v>
      </c>
      <c r="H68">
        <v>67</v>
      </c>
      <c r="I68">
        <f>SUM(C68:H68)</f>
        <v>147</v>
      </c>
      <c r="J68">
        <v>2024</v>
      </c>
    </row>
    <row r="69" spans="1:10" x14ac:dyDescent="0.25">
      <c r="A69" t="s">
        <v>23</v>
      </c>
      <c r="B69" t="s">
        <v>10</v>
      </c>
      <c r="C69">
        <v>13081</v>
      </c>
      <c r="D69">
        <v>0</v>
      </c>
      <c r="E69">
        <v>0</v>
      </c>
      <c r="F69">
        <v>0</v>
      </c>
      <c r="G69">
        <v>0</v>
      </c>
      <c r="H69">
        <v>0</v>
      </c>
      <c r="I69">
        <f>SUM(C69:H69)</f>
        <v>13081</v>
      </c>
      <c r="J69">
        <v>2024</v>
      </c>
    </row>
    <row r="70" spans="1:10" x14ac:dyDescent="0.25">
      <c r="A70" t="s">
        <v>24</v>
      </c>
      <c r="B70" t="s">
        <v>14</v>
      </c>
      <c r="C70">
        <v>2000</v>
      </c>
      <c r="D70">
        <v>1300</v>
      </c>
      <c r="E70">
        <v>0</v>
      </c>
      <c r="F70">
        <v>700</v>
      </c>
      <c r="G70">
        <v>0</v>
      </c>
      <c r="H70">
        <v>0</v>
      </c>
      <c r="I70">
        <f>SUM(C70:H70)</f>
        <v>4000</v>
      </c>
      <c r="J70">
        <v>2024</v>
      </c>
    </row>
    <row r="71" spans="1:10" x14ac:dyDescent="0.25">
      <c r="A71" t="s">
        <v>25</v>
      </c>
      <c r="B71" t="s">
        <v>16</v>
      </c>
      <c r="C71">
        <v>2487</v>
      </c>
      <c r="D71">
        <v>6338</v>
      </c>
      <c r="E71">
        <v>467</v>
      </c>
      <c r="F71">
        <v>704</v>
      </c>
      <c r="G71">
        <v>922</v>
      </c>
      <c r="H71">
        <v>1979</v>
      </c>
      <c r="I71">
        <f>SUM(C71:H71)</f>
        <v>12897</v>
      </c>
      <c r="J71">
        <v>2024</v>
      </c>
    </row>
    <row r="72" spans="1:10" x14ac:dyDescent="0.25">
      <c r="A72" t="s">
        <v>10</v>
      </c>
      <c r="B72" t="s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f>SUM(C72:H72)</f>
        <v>0</v>
      </c>
      <c r="J72">
        <v>2024</v>
      </c>
    </row>
    <row r="73" spans="1:10" x14ac:dyDescent="0.25">
      <c r="A73" t="s">
        <v>26</v>
      </c>
      <c r="B73" t="s">
        <v>26</v>
      </c>
      <c r="C73">
        <v>499</v>
      </c>
      <c r="D73">
        <v>978</v>
      </c>
      <c r="E73">
        <v>0</v>
      </c>
      <c r="F73">
        <v>509</v>
      </c>
      <c r="G73">
        <v>160</v>
      </c>
      <c r="H73">
        <v>506</v>
      </c>
      <c r="I73">
        <f>SUM(C73:H73)</f>
        <v>2652</v>
      </c>
      <c r="J73">
        <v>2024</v>
      </c>
    </row>
    <row r="74" spans="1:10" x14ac:dyDescent="0.25">
      <c r="A74" t="s">
        <v>27</v>
      </c>
      <c r="B74" t="s">
        <v>16</v>
      </c>
      <c r="C74">
        <v>0</v>
      </c>
      <c r="D74">
        <v>271</v>
      </c>
      <c r="E74">
        <v>0</v>
      </c>
      <c r="F74">
        <v>0</v>
      </c>
      <c r="G74">
        <v>800</v>
      </c>
      <c r="H74">
        <v>0</v>
      </c>
      <c r="I74">
        <f>SUM(C74:H74)</f>
        <v>1071</v>
      </c>
      <c r="J74">
        <v>2024</v>
      </c>
    </row>
    <row r="75" spans="1:10" x14ac:dyDescent="0.25">
      <c r="A75" t="s">
        <v>28</v>
      </c>
      <c r="B75" t="s">
        <v>28</v>
      </c>
      <c r="C75">
        <v>224</v>
      </c>
      <c r="D75">
        <v>100</v>
      </c>
      <c r="E75">
        <v>0</v>
      </c>
      <c r="F75">
        <v>352</v>
      </c>
      <c r="G75">
        <v>0</v>
      </c>
      <c r="H75">
        <v>811</v>
      </c>
      <c r="I75">
        <f>SUM(C75:H75)</f>
        <v>1487</v>
      </c>
      <c r="J75">
        <v>2024</v>
      </c>
    </row>
    <row r="76" spans="1:10" x14ac:dyDescent="0.25">
      <c r="A76" t="s">
        <v>29</v>
      </c>
      <c r="B76" t="s">
        <v>30</v>
      </c>
      <c r="C76">
        <v>200</v>
      </c>
      <c r="D76">
        <v>371</v>
      </c>
      <c r="E76">
        <v>85</v>
      </c>
      <c r="F76">
        <v>156</v>
      </c>
      <c r="G76">
        <v>135</v>
      </c>
      <c r="H76">
        <v>1798</v>
      </c>
      <c r="I76">
        <f>SUM(C76:H76)</f>
        <v>2745</v>
      </c>
      <c r="J76">
        <v>2024</v>
      </c>
    </row>
    <row r="77" spans="1:10" x14ac:dyDescent="0.25">
      <c r="A77" t="s">
        <v>31</v>
      </c>
      <c r="B77" t="s">
        <v>12</v>
      </c>
      <c r="C77">
        <v>0</v>
      </c>
      <c r="D77">
        <v>0</v>
      </c>
      <c r="E77">
        <v>0</v>
      </c>
      <c r="F77">
        <v>70</v>
      </c>
      <c r="G77">
        <v>0</v>
      </c>
      <c r="H77">
        <v>0</v>
      </c>
      <c r="I77">
        <f>SUM(C77:H77)</f>
        <v>70</v>
      </c>
      <c r="J77">
        <v>2024</v>
      </c>
    </row>
    <row r="78" spans="1:10" x14ac:dyDescent="0.25">
      <c r="A78" t="s">
        <v>32</v>
      </c>
      <c r="B78" t="s">
        <v>12</v>
      </c>
      <c r="J78">
        <v>2024</v>
      </c>
    </row>
    <row r="79" spans="1:10" x14ac:dyDescent="0.25">
      <c r="A79" t="s">
        <v>33</v>
      </c>
      <c r="B79" t="s">
        <v>10</v>
      </c>
      <c r="C79">
        <v>0</v>
      </c>
      <c r="D79">
        <v>0</v>
      </c>
      <c r="E79">
        <v>0</v>
      </c>
      <c r="F79">
        <v>0</v>
      </c>
      <c r="G79">
        <v>2377</v>
      </c>
      <c r="H79">
        <v>0</v>
      </c>
      <c r="I79">
        <f>SUM(C79:H79)</f>
        <v>2377</v>
      </c>
      <c r="J79">
        <v>2024</v>
      </c>
    </row>
    <row r="80" spans="1:10" x14ac:dyDescent="0.25">
      <c r="A80" t="s">
        <v>34</v>
      </c>
      <c r="B80" t="s">
        <v>10</v>
      </c>
      <c r="C80">
        <v>0</v>
      </c>
      <c r="D80">
        <v>165</v>
      </c>
      <c r="E80">
        <v>0</v>
      </c>
      <c r="F80">
        <v>0</v>
      </c>
      <c r="G80">
        <v>0</v>
      </c>
      <c r="H80">
        <v>0</v>
      </c>
      <c r="I80">
        <f>SUM(C80:H80)</f>
        <v>165</v>
      </c>
      <c r="J80">
        <v>2024</v>
      </c>
    </row>
    <row r="81" spans="1:10" x14ac:dyDescent="0.25">
      <c r="A81" t="s">
        <v>35</v>
      </c>
      <c r="B81" t="s">
        <v>28</v>
      </c>
      <c r="C81">
        <v>0</v>
      </c>
      <c r="D81">
        <v>0</v>
      </c>
      <c r="E81">
        <v>2725</v>
      </c>
      <c r="F81">
        <v>0</v>
      </c>
      <c r="G81">
        <v>0</v>
      </c>
      <c r="H81">
        <v>0</v>
      </c>
      <c r="I81">
        <f>SUM(C81:H81)</f>
        <v>2725</v>
      </c>
      <c r="J81">
        <v>2024</v>
      </c>
    </row>
    <row r="82" spans="1:10" x14ac:dyDescent="0.25">
      <c r="A82" t="s">
        <v>36</v>
      </c>
      <c r="B82" t="s">
        <v>14</v>
      </c>
      <c r="C82">
        <v>0</v>
      </c>
      <c r="D82">
        <v>0</v>
      </c>
      <c r="E82">
        <v>0</v>
      </c>
      <c r="F82">
        <v>0</v>
      </c>
      <c r="G82">
        <v>0</v>
      </c>
      <c r="H82">
        <v>227</v>
      </c>
      <c r="I82">
        <f>SUM(C82:H82)</f>
        <v>227</v>
      </c>
      <c r="J82">
        <v>2024</v>
      </c>
    </row>
    <row r="83" spans="1:10" x14ac:dyDescent="0.25">
      <c r="A83" t="s">
        <v>37</v>
      </c>
      <c r="B83" t="s">
        <v>12</v>
      </c>
      <c r="C83">
        <v>100</v>
      </c>
      <c r="D83">
        <v>2500</v>
      </c>
      <c r="E83">
        <v>100</v>
      </c>
      <c r="F83">
        <v>100</v>
      </c>
      <c r="G83">
        <v>100</v>
      </c>
      <c r="H83">
        <v>100</v>
      </c>
      <c r="I83">
        <f>SUM(C83:H83)</f>
        <v>3000</v>
      </c>
      <c r="J83">
        <v>2024</v>
      </c>
    </row>
    <row r="84" spans="1:10" x14ac:dyDescent="0.25">
      <c r="A84" t="s">
        <v>38</v>
      </c>
      <c r="B84" t="s">
        <v>18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f>SUM(C84:H84)</f>
        <v>0</v>
      </c>
      <c r="J84">
        <v>2024</v>
      </c>
    </row>
    <row r="85" spans="1:10" x14ac:dyDescent="0.25">
      <c r="A85" t="s">
        <v>39</v>
      </c>
      <c r="B85" t="s">
        <v>10</v>
      </c>
      <c r="J85">
        <v>2024</v>
      </c>
    </row>
    <row r="86" spans="1:10" x14ac:dyDescent="0.25">
      <c r="A86" t="s">
        <v>40</v>
      </c>
      <c r="B86" t="s">
        <v>10</v>
      </c>
      <c r="C86">
        <v>721</v>
      </c>
      <c r="D86">
        <v>777</v>
      </c>
      <c r="E86">
        <v>0</v>
      </c>
      <c r="F86">
        <v>471</v>
      </c>
      <c r="G86">
        <v>574</v>
      </c>
      <c r="H86">
        <v>1200</v>
      </c>
      <c r="I86">
        <f>SUM(C86:H86)</f>
        <v>3743</v>
      </c>
      <c r="J86">
        <v>2024</v>
      </c>
    </row>
    <row r="87" spans="1:10" x14ac:dyDescent="0.25">
      <c r="A87" t="s">
        <v>41</v>
      </c>
      <c r="B87" t="s">
        <v>10</v>
      </c>
      <c r="J87">
        <v>2024</v>
      </c>
    </row>
    <row r="88" spans="1:10" x14ac:dyDescent="0.25">
      <c r="A88" t="s">
        <v>42</v>
      </c>
      <c r="B88" t="s">
        <v>18</v>
      </c>
      <c r="C88">
        <v>0</v>
      </c>
      <c r="D88">
        <v>741</v>
      </c>
      <c r="E88">
        <v>446</v>
      </c>
      <c r="F88">
        <v>0</v>
      </c>
      <c r="G88">
        <v>91</v>
      </c>
      <c r="H88">
        <v>0</v>
      </c>
      <c r="I88">
        <f>SUM(C88:H88)</f>
        <v>1278</v>
      </c>
      <c r="J88">
        <v>2024</v>
      </c>
    </row>
    <row r="89" spans="1:10" x14ac:dyDescent="0.25">
      <c r="A89" t="s">
        <v>43</v>
      </c>
      <c r="B89" t="s">
        <v>16</v>
      </c>
      <c r="C89">
        <v>0</v>
      </c>
      <c r="D89">
        <v>0</v>
      </c>
      <c r="E89">
        <v>1354</v>
      </c>
      <c r="F89">
        <v>0</v>
      </c>
      <c r="G89">
        <v>0</v>
      </c>
      <c r="H89">
        <v>0</v>
      </c>
      <c r="I89">
        <f>SUM(C89:H89)</f>
        <v>1354</v>
      </c>
      <c r="J89">
        <v>2024</v>
      </c>
    </row>
    <row r="90" spans="1:10" x14ac:dyDescent="0.25">
      <c r="A90" t="s">
        <v>44</v>
      </c>
      <c r="B90" t="s">
        <v>14</v>
      </c>
      <c r="C90">
        <v>1214</v>
      </c>
      <c r="D90">
        <v>0</v>
      </c>
      <c r="E90">
        <v>386</v>
      </c>
      <c r="F90">
        <v>0</v>
      </c>
      <c r="G90">
        <v>0</v>
      </c>
      <c r="H90">
        <v>75</v>
      </c>
      <c r="I90">
        <f>SUM(C90:H90)</f>
        <v>1675</v>
      </c>
      <c r="J90">
        <v>2024</v>
      </c>
    </row>
    <row r="91" spans="1:10" x14ac:dyDescent="0.25">
      <c r="A91" t="s">
        <v>45</v>
      </c>
      <c r="B91" t="s">
        <v>14</v>
      </c>
      <c r="C91">
        <v>100</v>
      </c>
      <c r="D91">
        <v>8000</v>
      </c>
      <c r="E91">
        <v>0</v>
      </c>
      <c r="F91">
        <v>0</v>
      </c>
      <c r="G91">
        <v>0</v>
      </c>
      <c r="H91">
        <v>0</v>
      </c>
      <c r="I91">
        <f>SUM(C91:H91)</f>
        <v>8100</v>
      </c>
      <c r="J9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Gardelin Anton RK REG UTV</dc:creator>
  <cp:lastModifiedBy>Gardelin Anton RK REG UTV</cp:lastModifiedBy>
  <dcterms:created xsi:type="dcterms:W3CDTF">2015-06-05T18:19:34Z</dcterms:created>
  <dcterms:modified xsi:type="dcterms:W3CDTF">2025-06-02T11:55:04Z</dcterms:modified>
</cp:coreProperties>
</file>